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i收评" sheetId="4" r:id="rId1"/>
    <sheet name="连板天梯接口" sheetId="2" r:id="rId2"/>
    <sheet name="涉及字段" sheetId="1" r:id="rId3"/>
    <sheet name="WpsReserved_CellImgList" sheetId="5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D1E00D87D414DD8A282DCAEA7CB315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95700" y="1714500"/>
          <a:ext cx="15611475" cy="7477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7448393744B5460794F6CCF3C0B7B55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67225" y="21577935"/>
          <a:ext cx="13716000" cy="96202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<sst xmlns="http://schemas.openxmlformats.org/spreadsheetml/2006/main" count="329" uniqueCount="279">
  <si>
    <t>整体文章结构分为四大块</t>
  </si>
  <si>
    <t>盘面综述</t>
  </si>
  <si>
    <t>板块方面</t>
  </si>
  <si>
    <t>个股方面</t>
  </si>
  <si>
    <t>市场要闻</t>
  </si>
  <si>
    <t>所属部分</t>
  </si>
  <si>
    <t>内容描述</t>
  </si>
  <si>
    <t>获取方式</t>
  </si>
  <si>
    <t>示例</t>
  </si>
  <si>
    <t>大盘概况</t>
  </si>
  <si>
    <t>股市盘中点评工作流</t>
  </si>
  <si>
    <r>
      <rPr>
        <b/>
        <sz val="11"/>
        <color rgb="FFFF0000"/>
        <rFont val="宋体"/>
        <charset val="134"/>
        <scheme val="minor"/>
      </rPr>
      <t>获取板块和领涨股</t>
    </r>
    <r>
      <rPr>
        <sz val="11"/>
        <color theme="1"/>
        <rFont val="宋体"/>
        <charset val="134"/>
        <scheme val="minor"/>
      </rPr>
      <t xml:space="preserve">
获取板块异动整体概况及其成分股。</t>
    </r>
    <r>
      <rPr>
        <sz val="11"/>
        <color rgb="FFFF0000"/>
        <rFont val="宋体"/>
        <charset val="134"/>
        <scheme val="minor"/>
      </rPr>
      <t>概括异动板块情况</t>
    </r>
    <r>
      <rPr>
        <sz val="11"/>
        <color theme="1"/>
        <rFont val="宋体"/>
        <charset val="134"/>
        <scheme val="minor"/>
      </rPr>
      <t xml:space="preserve">，其中signaltype 为11,跳水,12,冲高的板块可以重点描述；signaltype 为7-低开,8-高开，如果后续没有出现其他变动，可以忽略该板块
描述板块名称，异动时间、异动原因、领涨（跌）股及其涨幅。相同板块不同时点的异动 放在一条综合描述。
</t>
    </r>
    <r>
      <rPr>
        <sz val="11"/>
        <rFont val="宋体"/>
        <charset val="134"/>
        <scheme val="minor"/>
      </rPr>
      <t>板块成分股涨跌幅前三，如果为跌停、涨停则纳入个股新闻部分的入参</t>
    </r>
    <r>
      <rPr>
        <sz val="11"/>
        <color theme="1"/>
        <rFont val="宋体"/>
        <charset val="134"/>
        <scheme val="minor"/>
      </rPr>
      <t xml:space="preserve">
</t>
    </r>
  </si>
  <si>
    <t>接口</t>
  </si>
  <si>
    <t>http://123.60.27.66:7615/TQLEX?Entry=HQServ.PBPzxh</t>
  </si>
  <si>
    <t>入参</t>
  </si>
  <si>
    <t>{
  "Head": {
    "Target": 0
  },
  "Type": "2",
  "LastHMS": "0",
  "WantPos": "0",
  "Date": "0"
}</t>
  </si>
  <si>
    <t>返回结果</t>
  </si>
  <si>
    <t>{
  "Type": 1,
  "PzListDate": 20230904,
  "LastAnsPos": 1047,
  "GetNum": 5,
  "List": [
    {
      "SignalType": 8,
      "SignalTime": 930,  异动时间
      "Name": "精装修",     板块名称
      "SignalDesc": "高开",异动原因
      "Data": 1.51748312, 板块/主题涨幅
      "SetCode3": "1", 市场代码
      "Code1": "002271",股票代码
      "Zaf1": 0.0272109229,成分股涨跌幅
      "Name1": "东方雨虹",成分股名称
      "SetCode2": 1,
      "Code2": "603737",
      "Zaf2": 0.0148340845,
      "Name2": "三棵树",
      "SetCode1": 1,
      "Code3": "002043",
      "Zaf3": 0.0418181866, 涨幅
      "Name3": "兔 宝 宝"
    }
  ]
}</t>
  </si>
  <si>
    <r>
      <rPr>
        <b/>
        <sz val="11"/>
        <color rgb="FFFF0000"/>
        <rFont val="宋体"/>
        <charset val="134"/>
        <scheme val="minor"/>
      </rPr>
      <t>获取关联新闻</t>
    </r>
    <r>
      <rPr>
        <sz val="11"/>
        <color theme="1"/>
        <rFont val="宋体"/>
        <charset val="134"/>
        <scheme val="minor"/>
      </rPr>
      <t xml:space="preserve">
获取板块异动和资金流入板块（实时解盘中有）的相关新闻，如有则将新闻所表述的事件描述在板块后面。
例如：黄金股拉升，湖南黄金等多股涨停，盛屯矿业、中国动力涨超7%，藏格矿业、紫金矿业等多股跟涨。消息面上，现货黄金午后持续发力，站上4870美元/盎司，日内涨4.5%。莲华资产管理首席投资官洪灏表示：“坚定地看多黄金白银的长期投资价值。”</t>
    </r>
  </si>
  <si>
    <t>自选股接口，智能听内容作为新闻相关内容</t>
  </si>
  <si>
    <r>
      <rPr>
        <b/>
        <sz val="11"/>
        <color rgb="FFFF0000"/>
        <rFont val="宋体"/>
        <charset val="134"/>
        <scheme val="minor"/>
      </rPr>
      <t>获取连涨股，描述涨停情况展示：个股名称N001、个股代码N002、几天几板N009、连续涨停天数N010,板型N012、涨停原因N030。并搜索相关新闻</t>
    </r>
    <r>
      <rPr>
        <sz val="11"/>
        <color rgb="FFFF0000"/>
        <rFont val="宋体"/>
        <charset val="134"/>
        <scheme val="minor"/>
      </rPr>
      <t xml:space="preserve">
连板天梯筛选规则</t>
    </r>
    <r>
      <rPr>
        <sz val="11"/>
        <color theme="1"/>
        <rFont val="宋体"/>
        <charset val="134"/>
        <scheme val="minor"/>
      </rPr>
      <t>：以下为剔除过滤ST股和退市整理板和过滤未开板次新的连板股票，按几天几板倒序排列。
挑选排名前三个不同的几天几版（例如9天9板 一只股票，8天8板 二只股票  5天5板 1只股票，则四只股票全部入选）如果前三板型中有2天2板 则2天2板及其后续数据不入选（避免个股过多且无特色）</t>
    </r>
  </si>
  <si>
    <t>TCI协议</t>
  </si>
  <si>
    <r>
      <rPr>
        <sz val="10"/>
        <rFont val="宋体"/>
        <charset val="134"/>
        <scheme val="minor"/>
      </rPr>
      <t>/TQLEX?Entry=HQServ.hq_nlp</t>
    </r>
    <r>
      <rPr>
        <sz val="10"/>
        <color rgb="FFFF0000"/>
        <rFont val="宋体"/>
        <charset val="134"/>
        <scheme val="minor"/>
      </rPr>
      <t>_misc（pc） app：/TQLEX?Entry=HQServ.hq_nlp_app_misc</t>
    </r>
  </si>
  <si>
    <t>请求示例</t>
  </si>
  <si>
    <t>[{"ReqId":"1100","Market":"0","blockstyle":"3","BkCode":"","FilterBkCode":"","Zdt":"7","ZdtOld":"0","ZfRange":"0","SortIndex":"5","Sort":"0","Page":"0","PageSize":"100","modname":"module_misc.dll"}]</t>
  </si>
  <si>
    <r>
      <rPr>
        <sz val="11"/>
        <color theme="1"/>
        <rFont val="宋体"/>
        <charset val="134"/>
        <scheme val="minor"/>
      </rPr>
      <t>通过板块异动获取到</t>
    </r>
    <r>
      <rPr>
        <sz val="11"/>
        <color rgb="FFFF0000"/>
        <rFont val="宋体"/>
        <charset val="134"/>
        <scheme val="minor"/>
      </rPr>
      <t>涨跌停的个股，获取相关个股新闻
例如：</t>
    </r>
    <r>
      <rPr>
        <sz val="11"/>
        <rFont val="宋体"/>
        <charset val="134"/>
        <scheme val="minor"/>
      </rPr>
      <t>罗博特科涨停，报收424.8元。消息面上，当地时间周一，埃隆·马斯克旗下SpaceX在公司备忘录中确认与xAI合并，马斯克表示，此次收购旨在打造"地球内外最具雄心的垂直整合创新引擎"。</t>
    </r>
  </si>
  <si>
    <t>获取当天重要性大于1的新闻 按重要性倒序100条，提取事件进行打分，提炼2-3条重要新闻摘要，每摘要不超过200字</t>
  </si>
  <si>
    <t>select *froM tb_news_common where ProStatus=1 and SourceType in (0,1,2,3) and PubDate&gt;='2026-02-04 00:00:00' and Importance&gt;1 ORDER BY importance  desc limit 100</t>
  </si>
  <si>
    <t>返回 事件名称+新闻摘要</t>
  </si>
  <si>
    <t>参数名</t>
  </si>
  <si>
    <t>参数Id</t>
  </si>
  <si>
    <t>说明</t>
  </si>
  <si>
    <t>ReqId</t>
  </si>
  <si>
    <t>固定为1100</t>
  </si>
  <si>
    <t>市场分类</t>
  </si>
  <si>
    <t>Market</t>
  </si>
  <si>
    <t>0/1/2/3/4/5/6/7/8/9/10/11/12/13/14/15 全部A股(默认)/主板/中小板/创业板/科创板/板块成分股/全部板块/行业板块/概念板块/风格板块/地区板块/北证A股/研究行业二级/深圳A股/上证A股/北证A股</t>
  </si>
  <si>
    <t>板块代码</t>
  </si>
  <si>
    <t>BkCode</t>
  </si>
  <si>
    <t>Market为5时有效，880201</t>
  </si>
  <si>
    <t>过滤板块</t>
  </si>
  <si>
    <t>FilterBkCode</t>
  </si>
  <si>
    <t>880380，880398</t>
  </si>
  <si>
    <t>过滤类型</t>
  </si>
  <si>
    <t>blockstyle</t>
  </si>
  <si>
    <t>0-全部 1-过滤ST股和退市整理板 2-过滤未开板次新  3-过滤ST股和退市整理板和过滤未开板次新</t>
  </si>
  <si>
    <t>涨跌停状态</t>
  </si>
  <si>
    <t>Zdt</t>
  </si>
  <si>
    <t>当前涨跌停状态：0/1/2/3/4/5/6/7/8：全部A股(默认)/自然涨停/一字涨停/连续涨停/自然跌停/一字跌停/连续跌停/涨停/跌停</t>
  </si>
  <si>
    <t>涨跌停状态旧</t>
  </si>
  <si>
    <t>ZdtOld</t>
  </si>
  <si>
    <t>曾涨跌停状态：0：默认，1：曾涨停，2：曾跌停</t>
  </si>
  <si>
    <t>涨幅范围</t>
  </si>
  <si>
    <t>ZfRange</t>
  </si>
  <si>
    <t>是否在区间"7%-涨停"内：0：不受条件限制，1：是</t>
  </si>
  <si>
    <t>排序字段</t>
  </si>
  <si>
    <t>SortIndex</t>
  </si>
  <si>
    <t>排序字段类型：0-25：现价/涨幅/最近一次涨停时间/最近一次跌停时间/几天几板/连续涨停天数/连续跌停天数/板型/封单额/封成比/首次涨停时间/首次跌停时间/最后涨停打开时间/最后跌停打开时间/首次涨停后涨停打开次数/首次涨停后跌停打开次数/最高涨停封单额/最高跌停封单额/涨停金额/涨速（5分钟）/换手率/量比/总金额/主力净流入/大宗净流入/涨停原因</t>
  </si>
  <si>
    <t>排序规则</t>
  </si>
  <si>
    <t>Sort</t>
  </si>
  <si>
    <t>0：降序，1：升序</t>
  </si>
  <si>
    <t>页码</t>
  </si>
  <si>
    <t>Page</t>
  </si>
  <si>
    <t>页码，默认0</t>
  </si>
  <si>
    <t>每页数量</t>
  </si>
  <si>
    <t>PageSize</t>
  </si>
  <si>
    <t>每页数量 每页数量最多 100</t>
  </si>
  <si>
    <t>modname</t>
  </si>
  <si>
    <t>固定为module_misc.dll</t>
  </si>
  <si>
    <t>取值条件</t>
  </si>
  <si>
    <t xml:space="preserve">name </t>
  </si>
  <si>
    <t>caption</t>
  </si>
  <si>
    <t>取值</t>
  </si>
  <si>
    <t>字段取值条件</t>
  </si>
  <si>
    <t>N001</t>
  </si>
  <si>
    <t>string</t>
  </si>
  <si>
    <t>证券名称</t>
  </si>
  <si>
    <t>N002</t>
  </si>
  <si>
    <t>证券代码</t>
  </si>
  <si>
    <t>N003</t>
  </si>
  <si>
    <t>次新标识：0：默认，1：次新</t>
  </si>
  <si>
    <t>N004</t>
  </si>
  <si>
    <t>市场类型</t>
  </si>
  <si>
    <t>N005</t>
  </si>
  <si>
    <t>现价</t>
  </si>
  <si>
    <t>N006</t>
  </si>
  <si>
    <t>涨幅</t>
  </si>
  <si>
    <t>N007</t>
  </si>
  <si>
    <t>最近一次涨停时间</t>
  </si>
  <si>
    <t>N008</t>
  </si>
  <si>
    <t>最近一次跌停时间</t>
  </si>
  <si>
    <t>N009</t>
  </si>
  <si>
    <t>几天几板</t>
  </si>
  <si>
    <t>N010</t>
  </si>
  <si>
    <t>连续涨停天数</t>
  </si>
  <si>
    <t>N011</t>
  </si>
  <si>
    <t>连续跌停天数</t>
  </si>
  <si>
    <t>N012</t>
  </si>
  <si>
    <t>板型</t>
  </si>
  <si>
    <t>N013</t>
  </si>
  <si>
    <t>封单额</t>
  </si>
  <si>
    <t>N014</t>
  </si>
  <si>
    <t>封成比</t>
  </si>
  <si>
    <t>N015</t>
  </si>
  <si>
    <t>首次涨停时间</t>
  </si>
  <si>
    <t>N016</t>
  </si>
  <si>
    <t>首次跌停时间</t>
  </si>
  <si>
    <t>N017</t>
  </si>
  <si>
    <t>最后涨停打开时间</t>
  </si>
  <si>
    <t>N018</t>
  </si>
  <si>
    <t>最后跌停打开时间</t>
  </si>
  <si>
    <t>N019</t>
  </si>
  <si>
    <t>首次涨停后涨停打开次数</t>
  </si>
  <si>
    <t>N020</t>
  </si>
  <si>
    <t>首次跌停后跌停打开次数</t>
  </si>
  <si>
    <t>N021</t>
  </si>
  <si>
    <t>最高涨停封单额</t>
  </si>
  <si>
    <t>N022</t>
  </si>
  <si>
    <t>最高跌停封单额</t>
  </si>
  <si>
    <t>N023</t>
  </si>
  <si>
    <t>涨停金额</t>
  </si>
  <si>
    <t>N024</t>
  </si>
  <si>
    <t>涨速（5分钟）</t>
  </si>
  <si>
    <t>N025</t>
  </si>
  <si>
    <t>换手率</t>
  </si>
  <si>
    <t>N026</t>
  </si>
  <si>
    <t>量比</t>
  </si>
  <si>
    <t>N027</t>
  </si>
  <si>
    <t>总金额</t>
  </si>
  <si>
    <t>N028</t>
  </si>
  <si>
    <t>资金净流入</t>
  </si>
  <si>
    <t>N029</t>
  </si>
  <si>
    <t>主力资金净流入</t>
  </si>
  <si>
    <t>N030</t>
  </si>
  <si>
    <t>涨停原因</t>
  </si>
  <si>
    <t>盘面数据</t>
  </si>
  <si>
    <t>沪深京指数点位、涨跌幅</t>
  </si>
  <si>
    <t>成交额 换手率</t>
  </si>
  <si>
    <t>涨跌家数</t>
  </si>
  <si>
    <t>成交结构</t>
  </si>
  <si>
    <t>超大单 大单资金流向</t>
  </si>
  <si>
    <t>大单成交占比</t>
  </si>
  <si>
    <t>主力动向</t>
  </si>
  <si>
    <t>资金面与情绪面</t>
  </si>
  <si>
    <t>盘中情绪 短线情绪</t>
  </si>
  <si>
    <t>数值越大表示市场短线情绪越高</t>
  </si>
  <si>
    <t>找董月玲要</t>
  </si>
  <si>
    <t>使用行情协议获取当天和上一交易日的下列数值，提供给AI 用于盘面描述。</t>
  </si>
  <si>
    <t>提示词：以下分别为上证指数、创业板指、深证成指、科创50的盘面数据以及成交结构。短线情绪数值越高则说明市场短线情绪越浓烈，可以和上一日对比也可以对比盘中的最高点最低点。请根据该事实数据描述A股市场整体情况。走势不一致的指数可以分开描述，走势相似的指数可以归类描述。请注意，提供给你的数据为事实数据，请完全依据这些数据进行描述，不可以对数值进行任何修改或自我填充。</t>
  </si>
  <si>
    <t>需要监控的指数</t>
  </si>
  <si>
    <t>000001</t>
  </si>
  <si>
    <t>000688</t>
  </si>
  <si>
    <t>字段含义</t>
  </si>
  <si>
    <t>字段参数名</t>
  </si>
  <si>
    <t>字段参数colid</t>
  </si>
  <si>
    <t>掩码</t>
  </si>
  <si>
    <t>字段说明</t>
  </si>
  <si>
    <t>涉及的字段</t>
  </si>
  <si>
    <t>昨收</t>
  </si>
  <si>
    <t>CLOSE</t>
  </si>
  <si>
    <t>昨收，前收盘，期货昨结算</t>
  </si>
  <si>
    <t>今开</t>
  </si>
  <si>
    <t>OPEN</t>
  </si>
  <si>
    <t>今开盘</t>
  </si>
  <si>
    <t>最高</t>
  </si>
  <si>
    <t>MAX</t>
  </si>
  <si>
    <t>最高价</t>
  </si>
  <si>
    <t>？？？</t>
  </si>
  <si>
    <t>最低</t>
  </si>
  <si>
    <t>MIN</t>
  </si>
  <si>
    <t>今日收盘用哪个？</t>
  </si>
  <si>
    <t>主买净额</t>
  </si>
  <si>
    <t>VAR0419</t>
  </si>
  <si>
    <t>MASK4</t>
  </si>
  <si>
    <t>大宗净流入</t>
  </si>
  <si>
    <t>INOUTHB</t>
  </si>
  <si>
    <t>主力净额</t>
  </si>
  <si>
    <t>VAR0412</t>
  </si>
  <si>
    <t>主力净比</t>
  </si>
  <si>
    <t>VAR0413</t>
  </si>
  <si>
    <t>LB</t>
  </si>
  <si>
    <t>HSL</t>
  </si>
  <si>
    <t>涨家数</t>
  </si>
  <si>
    <t>跌家数</t>
  </si>
  <si>
    <t>盘后成交额</t>
  </si>
  <si>
    <t>行业板块</t>
  </si>
  <si>
    <t>新闻</t>
  </si>
  <si>
    <t>成分股创历史新高</t>
  </si>
  <si>
    <t>市场异动</t>
  </si>
  <si>
    <t>概念板块涨幅\跌幅排行前三</t>
  </si>
  <si>
    <t>/TQLEX?Entry=HQServ.PBHYStat</t>
  </si>
  <si>
    <t>根据涨幅进行排序</t>
  </si>
  <si>
    <t>{
  "Head": {
    "CharSet": "1",
    "Target": 0,
    "SSOToken": "string"
  },
  "Num": "3",
  "Blocktype": "0",
  "Desc_order": "0",
  "Iszangsu": "0",
  "Pos": "-1",
  "Needtotalnum": "2"
}</t>
  </si>
  <si>
    <t>{
  "Head": {
    "CharSet": "1",
    "Target": 0,
    "SSOToken": "string"
  },
  "Num": "3",
  "Blocktype": "0",
  "Desc_order": "1",
  "Iszangsu": "0",
  "Pos": "-1",
  "Needtotalnum": "2"
}</t>
  </si>
  <si>
    <t>{
  "Setcode": 1,
  "Code": "999999",
  "num": 146,
  "zstddeDataList": [
    {
      "Value": 14628266000,
      "Rate": [
        {
          "value": [
            8114,
            7140,
            3927,
            3726
          ]
        }
      ]
    }
  ]
}</t>
  </si>
  <si>
    <t xml:space="preserve">
Setcode
number
股票代码
1
Code
string
股票市场
999999
num
number
数量量
146
 zstddeDataList
array
每分钟资金流向数据
 Value
number
总数据(额,量或单数)
14628266000
 Rate
array
4个数组：特大/大/中/小单
 value复制
array
4个数据：买入/卖出/主买/主卖
复制
[8114,7140,3927,3726]</t>
  </si>
  <si>
    <t>板块资金 前3后3</t>
  </si>
  <si>
    <t>/TQLEX?Entry=HQServ.PBXmlBlock</t>
  </si>
  <si>
    <t>Blockid分为MStock_ZLJX_ADDE（跌）MStock_ZLJX_ADDE_R（涨），分别为按跌幅排序和按涨幅排序取前三</t>
  </si>
  <si>
    <t>{
  "Head": {
    "Target": 0
  },
  "Code": "HY,1,0,3",
  "Blockid": "MStock_ZLJX_ADDE"
}</t>
  </si>
  <si>
    <t>{
  "Head": {
    "Target": 0
  },
  "Code": "HY,1,0,3",
  "Blockid": "MStock_ZLJX_ADDE_R"
}</t>
  </si>
  <si>
    <t xml:space="preserve">返回内容区
[\"1\",\"881218\",\"汽车零部件\",\"813.23\",\"815.05\",\"-720249856.00\",\"-846371072.00\"]
对应
市场、代码、名称、昨收、现价、净流入、主力净流入              </t>
  </si>
  <si>
    <t>板块异动</t>
  </si>
  <si>
    <t>{
  "Type": 1,
  "PzListDate": 20230904,
  "LastAnsPos": 1047,
  "GetNum": 5,
  "List": [
    {
      "SignalType": 8,
      "SignalTime": 930,  异动时间
      "Name": "精装修",     板块名称
      "SignalDesc": "高开",异动原因
      "Data": 1.51748312,
      "SetCode3": "1",
      "Code1": "002271",
      "Zaf1": 0.0272109229,
      "Name1": "东方雨虹",
      "SetCode2": 1,
      "Code2": "603737",
      "Zaf2": 0.0148340845,
      "Name2": "三棵树",
      "SetCode1": 1,
      "Code3": "002043",
      "Zaf3": 0.0418181866, 涨幅
      "Name3": "兔 宝 宝"
    }
  ]
}</t>
  </si>
  <si>
    <t>大盘异动</t>
  </si>
  <si>
    <t>盘面异动</t>
  </si>
  <si>
    <t>重要个股/题材</t>
  </si>
  <si>
    <t>以下为剔除过滤ST股和退市整理板和过滤未开板次新的连板股票，按几天几板倒序排列。
才有表格展示个股名称N001、个股代码N002、几天几板N009、连续涨停天数N010,板型N012、涨停原因N030。
挑选排名前三个不同的几天几版（例如9天9板 一只股票，8天8板 二只股票  5天5板 1只股票，则四只股票全部入选）进行描述，并搜索相关新闻。 如果前三板型中有2天2板 则2天2板及其后续数据不入选（避免个股过多且无特色）</t>
  </si>
  <si>
    <t>个股</t>
  </si>
  <si>
    <t>异动相关 喂给ai</t>
  </si>
  <si>
    <t>大市值涨</t>
  </si>
  <si>
    <t>H301002</t>
  </si>
  <si>
    <t>大市值跌</t>
  </si>
  <si>
    <t>H301102</t>
  </si>
  <si>
    <t>大市值买</t>
  </si>
  <si>
    <t>H301201</t>
  </si>
  <si>
    <t>大市值卖</t>
  </si>
  <si>
    <t>H301301</t>
  </si>
  <si>
    <t>股价闪拉</t>
  </si>
  <si>
    <t>H301701</t>
  </si>
  <si>
    <t>股价闪崩</t>
  </si>
  <si>
    <t>H301801</t>
  </si>
  <si>
    <t>A股成交额突破1万亿</t>
  </si>
  <si>
    <t>H303001</t>
  </si>
  <si>
    <t>A股成交额突破2万亿</t>
  </si>
  <si>
    <t>H303101</t>
  </si>
  <si>
    <t>A股成交额突破3万亿</t>
  </si>
  <si>
    <t>H303201</t>
  </si>
  <si>
    <t>涨停潮</t>
  </si>
  <si>
    <t>H300701</t>
  </si>
  <si>
    <t>市值突破1000亿</t>
  </si>
  <si>
    <t>H303701</t>
  </si>
  <si>
    <t>市值突破10000亿</t>
  </si>
  <si>
    <t>H303801</t>
  </si>
  <si>
    <t>大市值涨停</t>
  </si>
  <si>
    <t>H301001</t>
  </si>
  <si>
    <t>大市值跌停</t>
  </si>
  <si>
    <t>H301101</t>
  </si>
  <si>
    <r>
      <rPr>
        <sz val="10"/>
        <color rgb="FF000000"/>
        <rFont val="微软雅黑"/>
        <charset val="134"/>
      </rPr>
      <t>市场成交额邻日变动幅度大（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直接变成了增长就报</t>
    </r>
    <r>
      <rPr>
        <b/>
        <sz val="10"/>
        <color rgb="FF000000"/>
        <rFont val="微软雅黑"/>
        <charset val="134"/>
      </rPr>
      <t>放量30%或者增大1000亿都触发</t>
    </r>
    <r>
      <rPr>
        <sz val="10"/>
        <color rgb="FF000000"/>
        <rFont val="微软雅黑"/>
        <charset val="134"/>
      </rPr>
      <t>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沪深京三市成交额增长</t>
    </r>
  </si>
  <si>
    <t>H304501</t>
  </si>
  <si>
    <t>午盘后，赚钱效应相关数字，市场热度值展示</t>
  </si>
  <si>
    <t>H300202</t>
  </si>
  <si>
    <t>收盘后，赚钱效应相关数字，市场热度值展示</t>
  </si>
  <si>
    <t>H300302</t>
  </si>
  <si>
    <r>
      <rPr>
        <sz val="10"/>
        <color rgb="FF000000"/>
        <rFont val="微软雅黑"/>
        <charset val="134"/>
      </rPr>
      <t>（开盘5分钟板块指数成分股异动）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板块指数盘初拉升</t>
    </r>
  </si>
  <si>
    <t>H304801</t>
  </si>
  <si>
    <t>高位股调整</t>
  </si>
  <si>
    <t>H307901</t>
  </si>
  <si>
    <t>ETF交易活跃</t>
  </si>
  <si>
    <t>H308101</t>
  </si>
  <si>
    <r>
      <rPr>
        <sz val="10"/>
        <color rgb="FF000000"/>
        <rFont val="微软雅黑"/>
        <charset val="134"/>
      </rPr>
      <t>大盘创历史新高目前都是取的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20251225</t>
    </r>
    <r>
      <rPr>
        <b/>
        <sz val="10"/>
        <color rgb="FF000000"/>
        <rFont val="微软雅黑"/>
        <charset val="134"/>
      </rPr>
      <t>10日</t>
    </r>
    <r>
      <rPr>
        <sz val="10"/>
        <color rgb="FF000000"/>
        <rFont val="微软雅黑"/>
        <charset val="134"/>
      </rPr>
      <t>新高验证数据方便些</t>
    </r>
  </si>
  <si>
    <t>H308901</t>
  </si>
  <si>
    <t>板块短线拉升</t>
  </si>
  <si>
    <t>H309101</t>
  </si>
  <si>
    <t>板块午后拉升</t>
  </si>
  <si>
    <t>H309201</t>
  </si>
  <si>
    <t>指数闪拉</t>
  </si>
  <si>
    <t>H309401</t>
  </si>
  <si>
    <t>指数闪跌</t>
  </si>
  <si>
    <t>H309501</t>
  </si>
  <si>
    <t>板指集拉</t>
  </si>
  <si>
    <t>H302101</t>
  </si>
  <si>
    <t>板指集跌</t>
  </si>
  <si>
    <t>H302201</t>
  </si>
  <si>
    <t>新闻搜索关键词</t>
  </si>
  <si>
    <t>A股异动</t>
  </si>
  <si>
    <t>收评</t>
  </si>
  <si>
    <t>午评</t>
  </si>
  <si>
    <t>连板</t>
  </si>
  <si>
    <t>大涨</t>
  </si>
  <si>
    <t>爆发</t>
  </si>
  <si>
    <t>集体飙升</t>
  </si>
  <si>
    <t>冲高</t>
  </si>
  <si>
    <t>相关板块</t>
  </si>
  <si>
    <t>相关个股</t>
  </si>
  <si>
    <t>大盘描述</t>
  </si>
  <si>
    <t>板块描述</t>
  </si>
  <si>
    <t>个股描述</t>
  </si>
  <si>
    <t>后市分析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</si>
</sst>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1"/>
      <color rgb="FF000000"/>
      <name val="宋体"/>
      <charset val="0"/>
    </font>
    <font>
      <sz val="10"/>
      <color rgb="FF7030A0"/>
      <name val="微软雅黑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1"/>
      <color theme="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00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6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 applyProtection="1">
      <alignment vertical="center" wrapText="1"/>
      <protection locked="0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 applyProtection="1">
      <alignment vertical="center" wrapText="1"/>
      <protection locked="0"/>
    </xf>
    <xf numFmtId="0" fontId="4" fillId="0" borderId="0" xfId="0" applyFont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0" fillId="5" borderId="1" xfId="0" applyFont="1" applyFill="1" applyBorder="1">
      <alignment vertical="center"/>
    </xf>
    <xf numFmtId="0" fontId="10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6" applyFont="1" applyBorder="1">
      <alignment vertical="center"/>
    </xf>
    <xf numFmtId="0" fontId="0" fillId="0" borderId="1" xfId="0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" dbFileVersion="0">
    <open main="39" threadCnt="1"/>
    <sheetInfos>
      <sheetInfo cellCmpFml="0" sheetStid="4">
        <open threadCnt="1"/>
      </sheetInfo>
      <sheetInfo cellCmpFml="0" sheetStid="2">
        <open threadCnt="1"/>
      </sheetInfo>
      <sheetInfo cellCmpFml="2" sheetStid="1">
        <open threadCnt="1"/>
      </sheetInfo>
      <sheetInfo cellCmpFml="0" sheetStid="5">
        <open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523875</xdr:colOff>
      <xdr:row>43</xdr:row>
      <xdr:rowOff>104775</xdr:rowOff>
    </xdr:to>
    <xdr:pic>
      <xdr:nvPicPr>
        <xdr:cNvPr id="2" name="ID_6D1E00D87D414DD8A282DCAEA7CB315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95700" y="1714500"/>
          <a:ext cx="15611475" cy="7477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20</xdr:col>
      <xdr:colOff>0</xdr:colOff>
      <xdr:row>56</xdr:row>
      <xdr:rowOff>19050</xdr:rowOff>
    </xdr:to>
    <xdr:pic>
      <xdr:nvPicPr>
        <xdr:cNvPr id="3" name="ID_7448393744B5460794F6CCF3C0B7B55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67225" y="21577935"/>
          <a:ext cx="13716000" cy="9620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23.60.27.66:7615/TQLEX?Entry=HQServ.PBPzx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123.60.27.66:7615/TQLEX?Entry=HQServ.PBPzxh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topLeftCell="A13" workbookViewId="0">
      <selection activeCell="B16" sqref="B16"/>
    </sheetView>
  </sheetViews>
  <sheetFormatPr defaultColWidth="9" defaultRowHeight="13.5"/>
  <cols>
    <col min="1" max="1" width="27.75" customWidth="1"/>
    <col min="2" max="2" width="61.6666666666667" style="5" customWidth="1"/>
    <col min="3" max="3" width="44.375" customWidth="1"/>
    <col min="4" max="4" width="65.125" customWidth="1"/>
    <col min="5" max="5" width="60.5" customWidth="1"/>
    <col min="9" max="9" width="38.75" customWidth="1"/>
  </cols>
  <sheetData>
    <row r="1" spans="1:9">
      <c r="A1" s="28" t="s">
        <v>0</v>
      </c>
      <c r="B1" s="29" t="s">
        <v>1</v>
      </c>
      <c r="C1" s="28"/>
      <c r="D1" s="28"/>
    </row>
    <row r="2" spans="1:9">
      <c r="A2" s="28"/>
      <c r="B2" s="29" t="s">
        <v>2</v>
      </c>
      <c r="C2" s="28"/>
      <c r="D2" s="28"/>
    </row>
    <row r="3" spans="1:9">
      <c r="A3" s="28"/>
      <c r="B3" s="29" t="s">
        <v>3</v>
      </c>
      <c r="C3" s="28"/>
      <c r="D3" s="28"/>
    </row>
    <row r="4" spans="1:9">
      <c r="A4" s="28"/>
      <c r="B4" s="29" t="s">
        <v>4</v>
      </c>
      <c r="C4" s="28"/>
      <c r="D4" s="28"/>
    </row>
    <row r="5" spans="1:9">
      <c r="A5" s="30" t="s">
        <v>5</v>
      </c>
      <c r="B5" s="31" t="s">
        <v>6</v>
      </c>
      <c r="C5" s="30" t="s">
        <v>7</v>
      </c>
      <c r="D5" s="30" t="s">
        <v>8</v>
      </c>
    </row>
    <row r="6" spans="1:9">
      <c r="A6" s="28" t="s">
        <v>1</v>
      </c>
      <c r="B6" s="29" t="s">
        <v>9</v>
      </c>
      <c r="C6" s="28" t="s">
        <v>10</v>
      </c>
      <c r="D6" s="28"/>
    </row>
    <row r="7" spans="1:9">
      <c r="A7" s="32" t="s">
        <v>2</v>
      </c>
      <c r="B7" s="33" t="s">
        <v>11</v>
      </c>
      <c r="C7" s="28" t="s">
        <v>12</v>
      </c>
      <c r="D7" s="34" t="s">
        <v>13</v>
      </c>
    </row>
    <row r="8" ht="121.5" spans="1:9">
      <c r="A8" s="32"/>
      <c r="B8" s="35"/>
      <c r="C8" s="28" t="s">
        <v>14</v>
      </c>
      <c r="D8" s="29" t="s">
        <v>15</v>
      </c>
    </row>
    <row r="9" ht="206" customHeight="1" spans="1:9">
      <c r="A9" s="32"/>
      <c r="B9" s="35"/>
      <c r="C9" s="28" t="s">
        <v>16</v>
      </c>
      <c r="D9" s="29" t="s">
        <v>17</v>
      </c>
    </row>
    <row r="10" ht="134" customHeight="1" spans="1:9">
      <c r="A10" s="32"/>
      <c r="B10" s="33" t="s">
        <v>18</v>
      </c>
      <c r="C10" s="28" t="s">
        <v>19</v>
      </c>
      <c r="D10" s="29"/>
    </row>
    <row r="11" ht="24" spans="1:9">
      <c r="A11" s="32" t="s">
        <v>3</v>
      </c>
      <c r="B11" s="36" t="s">
        <v>20</v>
      </c>
      <c r="C11" s="37" t="s">
        <v>21</v>
      </c>
      <c r="D11" s="38" t="s">
        <v>22</v>
      </c>
      <c r="F11" s="39"/>
      <c r="G11" s="39"/>
      <c r="H11" s="39"/>
      <c r="I11" s="39"/>
    </row>
    <row r="12" ht="86.25" customHeight="1" spans="1:9">
      <c r="A12" s="32"/>
      <c r="B12" s="40"/>
      <c r="C12" s="37" t="s">
        <v>23</v>
      </c>
      <c r="D12" s="38" t="s">
        <v>24</v>
      </c>
      <c r="F12" s="39"/>
      <c r="G12" s="39"/>
      <c r="H12" s="39"/>
      <c r="I12" s="39"/>
    </row>
    <row r="13" spans="1:9">
      <c r="A13" s="32"/>
      <c r="B13" s="29"/>
      <c r="C13" s="28"/>
      <c r="D13" s="28"/>
    </row>
    <row r="14" ht="54" spans="1:9">
      <c r="A14" s="32"/>
      <c r="B14" s="41" t="s">
        <v>25</v>
      </c>
      <c r="C14" s="28" t="s">
        <v>19</v>
      </c>
      <c r="D14" s="28"/>
    </row>
    <row r="15" spans="1:9">
      <c r="A15" s="28"/>
      <c r="B15" s="29"/>
      <c r="C15" s="28"/>
      <c r="D15" s="28"/>
    </row>
    <row r="16" ht="113.25" customHeight="1" spans="1:9">
      <c r="A16" s="32" t="s">
        <v>4</v>
      </c>
      <c r="B16" s="42" t="s">
        <v>26</v>
      </c>
      <c r="C16" s="29" t="s">
        <v>27</v>
      </c>
      <c r="D16" s="28"/>
    </row>
    <row r="17" spans="1:4">
      <c r="A17" s="32"/>
      <c r="B17" s="29" t="s">
        <v>28</v>
      </c>
      <c r="C17" s="28"/>
      <c r="D17" s="28"/>
    </row>
  </sheetData>
  <sheetProtection formatCells="0" formatColumns="0" formatRows="0" insertRows="0" insertColumns="0" insertHyperlinks="0" deleteColumns="0" deleteRows="0" sort="0" autoFilter="0" pivotTables="0"/>
  <mergeCells count="5">
    <mergeCell ref="A7:A10"/>
    <mergeCell ref="A11:A14"/>
    <mergeCell ref="A16:A17"/>
    <mergeCell ref="B7:B9"/>
    <mergeCell ref="B11:B12"/>
  </mergeCells>
  <hyperlinks>
    <hyperlink ref="D7" r:id="rId1" display="http://123.60.27.66:7615/TQLEX?Entry=HQServ.PBPzxh" tooltip="http://123.60.27.66:7615/TQLEX?Entry=HQServ.PBPzxh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opLeftCell="A10" workbookViewId="0">
      <selection activeCell="J39" sqref="J39"/>
    </sheetView>
  </sheetViews>
  <sheetFormatPr defaultColWidth="9" defaultRowHeight="13.5" outlineLevelCol="4"/>
  <sheetData>
    <row r="1" spans="1:5">
      <c r="A1" s="9" t="s">
        <v>29</v>
      </c>
      <c r="B1" s="9" t="s">
        <v>30</v>
      </c>
      <c r="C1" s="9" t="s">
        <v>31</v>
      </c>
      <c r="D1" s="9"/>
      <c r="E1" s="9"/>
    </row>
    <row r="2" spans="1:5">
      <c r="A2" s="21" t="s">
        <v>32</v>
      </c>
      <c r="B2" s="21" t="s">
        <v>32</v>
      </c>
      <c r="C2" s="22" t="s">
        <v>33</v>
      </c>
      <c r="D2" s="22"/>
      <c r="E2" s="22"/>
    </row>
    <row r="3" spans="1:5">
      <c r="A3" s="21" t="s">
        <v>34</v>
      </c>
      <c r="B3" s="21" t="s">
        <v>35</v>
      </c>
      <c r="C3" s="22" t="s">
        <v>36</v>
      </c>
      <c r="D3" s="22"/>
      <c r="E3" s="22"/>
    </row>
    <row r="4" spans="1:5">
      <c r="A4" s="21" t="s">
        <v>37</v>
      </c>
      <c r="B4" s="21" t="s">
        <v>38</v>
      </c>
      <c r="C4" s="22" t="s">
        <v>39</v>
      </c>
      <c r="D4" s="22"/>
      <c r="E4" s="22"/>
    </row>
    <row r="5" spans="1:5">
      <c r="A5" s="21" t="s">
        <v>40</v>
      </c>
      <c r="B5" s="21" t="s">
        <v>41</v>
      </c>
      <c r="C5" s="23" t="s">
        <v>42</v>
      </c>
      <c r="D5" s="23"/>
      <c r="E5" s="23"/>
    </row>
    <row r="6" spans="1:5">
      <c r="A6" s="21" t="s">
        <v>43</v>
      </c>
      <c r="B6" s="21" t="s">
        <v>44</v>
      </c>
      <c r="C6" s="24" t="s">
        <v>45</v>
      </c>
      <c r="D6" s="24"/>
      <c r="E6" s="24"/>
    </row>
    <row r="7" spans="1:5">
      <c r="A7" s="21" t="s">
        <v>46</v>
      </c>
      <c r="B7" s="21" t="s">
        <v>47</v>
      </c>
      <c r="C7" s="22" t="s">
        <v>48</v>
      </c>
      <c r="D7" s="22"/>
      <c r="E7" s="22"/>
    </row>
    <row r="8" spans="1:5">
      <c r="A8" s="21" t="s">
        <v>49</v>
      </c>
      <c r="B8" s="21" t="s">
        <v>50</v>
      </c>
      <c r="C8" s="22" t="s">
        <v>51</v>
      </c>
      <c r="D8" s="22"/>
      <c r="E8" s="22"/>
    </row>
    <row r="9" spans="1:5">
      <c r="A9" s="21" t="s">
        <v>52</v>
      </c>
      <c r="B9" s="21" t="s">
        <v>53</v>
      </c>
      <c r="C9" s="22" t="s">
        <v>54</v>
      </c>
      <c r="D9" s="22"/>
      <c r="E9" s="22"/>
    </row>
    <row r="10" spans="1:5">
      <c r="A10" s="21" t="s">
        <v>55</v>
      </c>
      <c r="B10" s="21" t="s">
        <v>56</v>
      </c>
      <c r="C10" s="22" t="s">
        <v>57</v>
      </c>
      <c r="D10" s="22"/>
      <c r="E10" s="22"/>
    </row>
    <row r="11" spans="1:5">
      <c r="A11" s="21" t="s">
        <v>58</v>
      </c>
      <c r="B11" s="21" t="s">
        <v>59</v>
      </c>
      <c r="C11" s="22" t="s">
        <v>60</v>
      </c>
      <c r="D11" s="22"/>
      <c r="E11" s="22"/>
    </row>
    <row r="12" spans="1:5">
      <c r="A12" s="21" t="s">
        <v>61</v>
      </c>
      <c r="B12" s="21" t="s">
        <v>62</v>
      </c>
      <c r="C12" s="22" t="s">
        <v>63</v>
      </c>
      <c r="D12" s="22"/>
      <c r="E12" s="22"/>
    </row>
    <row r="13" spans="1:5">
      <c r="A13" s="21" t="s">
        <v>64</v>
      </c>
      <c r="B13" s="21" t="s">
        <v>65</v>
      </c>
      <c r="C13" s="22" t="s">
        <v>66</v>
      </c>
      <c r="D13" s="22"/>
      <c r="E13" s="22"/>
    </row>
    <row r="14" spans="1:5">
      <c r="A14" s="21" t="s">
        <v>67</v>
      </c>
      <c r="B14" s="21" t="s">
        <v>67</v>
      </c>
      <c r="C14" s="22" t="s">
        <v>68</v>
      </c>
      <c r="D14" s="22"/>
      <c r="E14" s="22"/>
    </row>
    <row r="15" spans="1:5">
      <c r="A15" s="9" t="s">
        <v>69</v>
      </c>
      <c r="B15" s="25" t="s">
        <v>70</v>
      </c>
      <c r="C15" s="25" t="s">
        <v>71</v>
      </c>
      <c r="D15" s="9" t="s">
        <v>72</v>
      </c>
      <c r="E15" s="9" t="s">
        <v>73</v>
      </c>
    </row>
    <row r="16" spans="1:5">
      <c r="A16" s="26"/>
      <c r="B16" s="21" t="s">
        <v>74</v>
      </c>
      <c r="C16" s="21" t="s">
        <v>75</v>
      </c>
      <c r="D16" s="21" t="s">
        <v>76</v>
      </c>
      <c r="E16" s="27"/>
    </row>
    <row r="17" spans="1:5">
      <c r="A17" s="26"/>
      <c r="B17" s="21" t="s">
        <v>77</v>
      </c>
      <c r="C17" s="21" t="s">
        <v>75</v>
      </c>
      <c r="D17" s="21" t="s">
        <v>78</v>
      </c>
      <c r="E17" s="27"/>
    </row>
    <row r="18" spans="1:5">
      <c r="A18" s="26"/>
      <c r="B18" s="21" t="s">
        <v>79</v>
      </c>
      <c r="C18" s="21" t="s">
        <v>75</v>
      </c>
      <c r="D18" s="21" t="s">
        <v>80</v>
      </c>
      <c r="E18" s="27"/>
    </row>
    <row r="19" spans="1:5">
      <c r="A19" s="26"/>
      <c r="B19" s="21" t="s">
        <v>81</v>
      </c>
      <c r="C19" s="21" t="s">
        <v>75</v>
      </c>
      <c r="D19" s="21" t="s">
        <v>82</v>
      </c>
      <c r="E19" s="27"/>
    </row>
    <row r="20" spans="1:5">
      <c r="A20" s="26"/>
      <c r="B20" s="21" t="s">
        <v>83</v>
      </c>
      <c r="C20" s="21" t="s">
        <v>75</v>
      </c>
      <c r="D20" s="21" t="s">
        <v>84</v>
      </c>
      <c r="E20" s="27"/>
    </row>
    <row r="21" spans="1:5">
      <c r="A21" s="26"/>
      <c r="B21" s="21" t="s">
        <v>85</v>
      </c>
      <c r="C21" s="21" t="s">
        <v>75</v>
      </c>
      <c r="D21" s="21" t="s">
        <v>86</v>
      </c>
      <c r="E21" s="27"/>
    </row>
    <row r="22" spans="1:5">
      <c r="A22" s="26"/>
      <c r="B22" s="21" t="s">
        <v>87</v>
      </c>
      <c r="C22" s="21" t="s">
        <v>75</v>
      </c>
      <c r="D22" s="21" t="s">
        <v>88</v>
      </c>
      <c r="E22" s="27"/>
    </row>
    <row r="23" spans="1:5">
      <c r="A23" s="26"/>
      <c r="B23" s="21" t="s">
        <v>89</v>
      </c>
      <c r="C23" s="21" t="s">
        <v>75</v>
      </c>
      <c r="D23" s="21" t="s">
        <v>90</v>
      </c>
      <c r="E23" s="27"/>
    </row>
    <row r="24" spans="1:5">
      <c r="A24" s="26"/>
      <c r="B24" s="21" t="s">
        <v>91</v>
      </c>
      <c r="C24" s="21" t="s">
        <v>75</v>
      </c>
      <c r="D24" s="21" t="s">
        <v>92</v>
      </c>
      <c r="E24" s="27"/>
    </row>
    <row r="25" spans="1:5">
      <c r="A25" s="26"/>
      <c r="B25" s="21" t="s">
        <v>93</v>
      </c>
      <c r="C25" s="21" t="s">
        <v>75</v>
      </c>
      <c r="D25" s="21" t="s">
        <v>94</v>
      </c>
      <c r="E25" s="27"/>
    </row>
    <row r="26" spans="1:5">
      <c r="A26" s="26"/>
      <c r="B26" s="21" t="s">
        <v>95</v>
      </c>
      <c r="C26" s="21" t="s">
        <v>75</v>
      </c>
      <c r="D26" s="21" t="s">
        <v>96</v>
      </c>
      <c r="E26" s="27"/>
    </row>
    <row r="27" spans="1:5">
      <c r="A27" s="26"/>
      <c r="B27" s="21" t="s">
        <v>97</v>
      </c>
      <c r="C27" s="21" t="s">
        <v>75</v>
      </c>
      <c r="D27" s="21" t="s">
        <v>98</v>
      </c>
      <c r="E27" s="27"/>
    </row>
    <row r="28" spans="1:5">
      <c r="A28" s="26"/>
      <c r="B28" s="21" t="s">
        <v>99</v>
      </c>
      <c r="C28" s="21" t="s">
        <v>75</v>
      </c>
      <c r="D28" s="21" t="s">
        <v>100</v>
      </c>
      <c r="E28" s="27"/>
    </row>
    <row r="29" spans="1:5">
      <c r="A29" s="26"/>
      <c r="B29" s="21" t="s">
        <v>101</v>
      </c>
      <c r="C29" s="21" t="s">
        <v>75</v>
      </c>
      <c r="D29" s="21" t="s">
        <v>102</v>
      </c>
      <c r="E29" s="27"/>
    </row>
    <row r="30" spans="1:5">
      <c r="A30" s="26"/>
      <c r="B30" s="21" t="s">
        <v>103</v>
      </c>
      <c r="C30" s="21" t="s">
        <v>75</v>
      </c>
      <c r="D30" s="21" t="s">
        <v>104</v>
      </c>
      <c r="E30" s="27"/>
    </row>
    <row r="31" spans="1:5">
      <c r="A31" s="26"/>
      <c r="B31" s="21" t="s">
        <v>105</v>
      </c>
      <c r="C31" s="21" t="s">
        <v>75</v>
      </c>
      <c r="D31" s="21" t="s">
        <v>106</v>
      </c>
      <c r="E31" s="27"/>
    </row>
    <row r="32" spans="1:5">
      <c r="A32" s="26"/>
      <c r="B32" s="21" t="s">
        <v>107</v>
      </c>
      <c r="C32" s="21" t="s">
        <v>75</v>
      </c>
      <c r="D32" s="21" t="s">
        <v>108</v>
      </c>
      <c r="E32" s="27"/>
    </row>
    <row r="33" spans="1:5">
      <c r="A33" s="26"/>
      <c r="B33" s="21" t="s">
        <v>109</v>
      </c>
      <c r="C33" s="21" t="s">
        <v>75</v>
      </c>
      <c r="D33" s="21" t="s">
        <v>110</v>
      </c>
      <c r="E33" s="27"/>
    </row>
    <row r="34" spans="1:5">
      <c r="A34" s="26"/>
      <c r="B34" s="21" t="s">
        <v>111</v>
      </c>
      <c r="C34" s="21" t="s">
        <v>75</v>
      </c>
      <c r="D34" s="21" t="s">
        <v>112</v>
      </c>
      <c r="E34" s="27"/>
    </row>
    <row r="35" spans="1:5">
      <c r="A35" s="26"/>
      <c r="B35" s="21" t="s">
        <v>113</v>
      </c>
      <c r="C35" s="21" t="s">
        <v>75</v>
      </c>
      <c r="D35" s="21" t="s">
        <v>114</v>
      </c>
      <c r="E35" s="27"/>
    </row>
    <row r="36" spans="1:5">
      <c r="A36" s="26"/>
      <c r="B36" s="21" t="s">
        <v>115</v>
      </c>
      <c r="C36" s="21" t="s">
        <v>75</v>
      </c>
      <c r="D36" s="21" t="s">
        <v>116</v>
      </c>
      <c r="E36" s="27"/>
    </row>
    <row r="37" spans="1:5">
      <c r="A37" s="26"/>
      <c r="B37" s="21" t="s">
        <v>117</v>
      </c>
      <c r="C37" s="21" t="s">
        <v>75</v>
      </c>
      <c r="D37" s="21" t="s">
        <v>118</v>
      </c>
      <c r="E37" s="27"/>
    </row>
    <row r="38" spans="1:5">
      <c r="A38" s="26"/>
      <c r="B38" s="21" t="s">
        <v>119</v>
      </c>
      <c r="C38" s="21" t="s">
        <v>75</v>
      </c>
      <c r="D38" s="21" t="s">
        <v>120</v>
      </c>
      <c r="E38" s="27"/>
    </row>
    <row r="39" spans="1:5">
      <c r="A39" s="26"/>
      <c r="B39" s="21" t="s">
        <v>121</v>
      </c>
      <c r="C39" s="21" t="s">
        <v>75</v>
      </c>
      <c r="D39" s="21" t="s">
        <v>122</v>
      </c>
      <c r="E39" s="27"/>
    </row>
    <row r="40" spans="1:5">
      <c r="A40" s="26"/>
      <c r="B40" s="21" t="s">
        <v>123</v>
      </c>
      <c r="C40" s="21" t="s">
        <v>75</v>
      </c>
      <c r="D40" s="21" t="s">
        <v>124</v>
      </c>
      <c r="E40" s="27"/>
    </row>
    <row r="41" spans="1:5">
      <c r="A41" s="26"/>
      <c r="B41" s="21" t="s">
        <v>125</v>
      </c>
      <c r="C41" s="21" t="s">
        <v>75</v>
      </c>
      <c r="D41" s="21" t="s">
        <v>126</v>
      </c>
      <c r="E41" s="27"/>
    </row>
    <row r="42" spans="1:5">
      <c r="A42" s="26"/>
      <c r="B42" s="21" t="s">
        <v>127</v>
      </c>
      <c r="C42" s="21" t="s">
        <v>75</v>
      </c>
      <c r="D42" s="21" t="s">
        <v>128</v>
      </c>
      <c r="E42" s="27"/>
    </row>
    <row r="43" spans="1:5">
      <c r="A43" s="26"/>
      <c r="B43" s="21" t="s">
        <v>129</v>
      </c>
      <c r="C43" s="21" t="s">
        <v>75</v>
      </c>
      <c r="D43" s="21" t="s">
        <v>130</v>
      </c>
      <c r="E43" s="27"/>
    </row>
    <row r="44" spans="1:5">
      <c r="A44" s="26"/>
      <c r="B44" s="21" t="s">
        <v>131</v>
      </c>
      <c r="C44" s="21" t="s">
        <v>75</v>
      </c>
      <c r="D44" s="21" t="s">
        <v>132</v>
      </c>
      <c r="E44" s="27"/>
    </row>
    <row r="45" spans="1:5">
      <c r="A45" s="26"/>
      <c r="B45" s="21" t="s">
        <v>133</v>
      </c>
      <c r="C45" s="21" t="s">
        <v>75</v>
      </c>
      <c r="D45" s="21" t="s">
        <v>134</v>
      </c>
      <c r="E45" s="27"/>
    </row>
  </sheetData>
  <sheetProtection formatCells="0" formatColumns="0" formatRows="0" insertRows="0" insertColumns="0" insertHyperlinks="0" deleteColumns="0" deleteRows="0" sort="0" autoFilter="0" pivotTables="0"/>
  <mergeCells count="15">
    <mergeCell ref="C1:E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A16:A4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6"/>
  <sheetViews>
    <sheetView topLeftCell="A91" workbookViewId="0">
      <selection activeCell="B119" sqref="B119"/>
    </sheetView>
  </sheetViews>
  <sheetFormatPr defaultColWidth="9" defaultRowHeight="13.5" outlineLevelCol="7"/>
  <cols>
    <col min="1" max="1" width="35.25" customWidth="1"/>
    <col min="2" max="2" width="37.125" customWidth="1"/>
    <col min="3" max="3" width="29.375" customWidth="1"/>
    <col min="4" max="4" width="12" customWidth="1"/>
    <col min="5" max="5" width="26.25" customWidth="1"/>
    <col min="6" max="6" width="60.75" customWidth="1"/>
    <col min="8" max="8" width="12.5"/>
  </cols>
  <sheetData>
    <row r="1" spans="1:6">
      <c r="A1" t="s">
        <v>135</v>
      </c>
      <c r="B1" t="s">
        <v>136</v>
      </c>
    </row>
    <row r="2" spans="1:6">
      <c r="B2" t="s">
        <v>137</v>
      </c>
    </row>
    <row r="3" spans="1:6">
      <c r="B3" t="s">
        <v>138</v>
      </c>
    </row>
    <row r="5" spans="1:6">
      <c r="A5" t="s">
        <v>139</v>
      </c>
      <c r="B5" t="s">
        <v>140</v>
      </c>
    </row>
    <row r="6" spans="1:6">
      <c r="B6" t="s">
        <v>141</v>
      </c>
    </row>
    <row r="7" spans="1:6">
      <c r="B7" t="s">
        <v>142</v>
      </c>
    </row>
    <row r="8" spans="1:6">
      <c r="A8" t="s">
        <v>143</v>
      </c>
      <c r="B8" t="s">
        <v>140</v>
      </c>
    </row>
    <row r="9" spans="1:6">
      <c r="B9" t="s">
        <v>144</v>
      </c>
      <c r="C9" t="s">
        <v>145</v>
      </c>
      <c r="D9" t="s">
        <v>146</v>
      </c>
    </row>
    <row r="11" spans="1:6">
      <c r="A11" t="s">
        <v>147</v>
      </c>
    </row>
    <row r="12" ht="42" customHeight="1" spans="1:6">
      <c r="A12" s="1" t="s">
        <v>148</v>
      </c>
      <c r="B12" s="1"/>
      <c r="C12" s="1"/>
      <c r="D12" s="1"/>
      <c r="E12" s="1"/>
      <c r="F12" s="1"/>
    </row>
    <row r="14" spans="1:6">
      <c r="A14" t="s">
        <v>149</v>
      </c>
      <c r="B14" s="43" t="s">
        <v>150</v>
      </c>
    </row>
    <row r="15" spans="1:6">
      <c r="B15" s="2">
        <v>399006</v>
      </c>
    </row>
    <row r="16" spans="1:6">
      <c r="B16" s="2">
        <v>399001</v>
      </c>
    </row>
    <row r="17" spans="1:8">
      <c r="B17" s="43" t="s">
        <v>151</v>
      </c>
    </row>
    <row r="18" spans="1:8">
      <c r="B18" s="2"/>
    </row>
    <row r="19" spans="1:8">
      <c r="B19" t="s">
        <v>152</v>
      </c>
      <c r="C19" t="s">
        <v>153</v>
      </c>
      <c r="D19" t="s">
        <v>154</v>
      </c>
      <c r="E19" t="s">
        <v>155</v>
      </c>
      <c r="F19" t="s">
        <v>156</v>
      </c>
    </row>
    <row r="20" spans="1:8">
      <c r="A20" t="s">
        <v>157</v>
      </c>
      <c r="B20" t="s">
        <v>158</v>
      </c>
      <c r="C20" t="s">
        <v>159</v>
      </c>
      <c r="D20">
        <v>2</v>
      </c>
      <c r="F20" t="s">
        <v>160</v>
      </c>
    </row>
    <row r="21" spans="1:8">
      <c r="B21" t="s">
        <v>161</v>
      </c>
      <c r="C21" t="s">
        <v>162</v>
      </c>
      <c r="D21">
        <v>3</v>
      </c>
      <c r="F21" t="s">
        <v>163</v>
      </c>
    </row>
    <row r="22" spans="1:8">
      <c r="B22" t="s">
        <v>164</v>
      </c>
      <c r="C22" t="s">
        <v>165</v>
      </c>
      <c r="D22">
        <v>4</v>
      </c>
      <c r="F22" t="s">
        <v>166</v>
      </c>
      <c r="H22" t="s">
        <v>167</v>
      </c>
    </row>
    <row r="23" spans="1:8">
      <c r="B23" t="s">
        <v>168</v>
      </c>
      <c r="C23" t="s">
        <v>169</v>
      </c>
      <c r="D23">
        <v>5</v>
      </c>
    </row>
    <row r="24" spans="1:8">
      <c r="B24" s="3" t="s">
        <v>170</v>
      </c>
    </row>
    <row r="25" spans="1:8">
      <c r="B25" t="s">
        <v>171</v>
      </c>
      <c r="C25" t="s">
        <v>172</v>
      </c>
      <c r="D25">
        <v>211</v>
      </c>
      <c r="E25" t="s">
        <v>173</v>
      </c>
    </row>
    <row r="26" spans="1:8">
      <c r="B26" t="s">
        <v>174</v>
      </c>
      <c r="C26" t="s">
        <v>175</v>
      </c>
      <c r="D26">
        <v>212</v>
      </c>
    </row>
    <row r="27" spans="1:8">
      <c r="B27" t="s">
        <v>176</v>
      </c>
      <c r="C27" t="s">
        <v>177</v>
      </c>
      <c r="D27">
        <v>212</v>
      </c>
      <c r="E27" t="s">
        <v>173</v>
      </c>
    </row>
    <row r="28" spans="1:8">
      <c r="B28" t="s">
        <v>178</v>
      </c>
      <c r="C28" t="s">
        <v>179</v>
      </c>
      <c r="D28">
        <v>215</v>
      </c>
      <c r="E28" t="s">
        <v>173</v>
      </c>
    </row>
    <row r="30" spans="1:8">
      <c r="B30" t="s">
        <v>126</v>
      </c>
      <c r="C30" t="s">
        <v>180</v>
      </c>
      <c r="D30">
        <v>35</v>
      </c>
      <c r="F30" t="s">
        <v>126</v>
      </c>
    </row>
    <row r="31" spans="1:8">
      <c r="B31" t="s">
        <v>124</v>
      </c>
      <c r="C31" t="s">
        <v>181</v>
      </c>
      <c r="D31">
        <v>36</v>
      </c>
    </row>
    <row r="32" spans="1:8">
      <c r="B32" t="s">
        <v>182</v>
      </c>
      <c r="D32">
        <v>1001</v>
      </c>
      <c r="F32" t="s">
        <v>182</v>
      </c>
    </row>
    <row r="33" spans="1:6">
      <c r="B33" t="s">
        <v>183</v>
      </c>
      <c r="D33">
        <v>1002</v>
      </c>
    </row>
    <row r="34" spans="1:6">
      <c r="B34" s="3" t="s">
        <v>184</v>
      </c>
      <c r="D34">
        <v>62</v>
      </c>
      <c r="F34" t="s">
        <v>184</v>
      </c>
    </row>
    <row r="37" spans="1:6">
      <c r="A37" t="s">
        <v>185</v>
      </c>
      <c r="E37" t="s">
        <v>186</v>
      </c>
      <c r="F37" t="s">
        <v>187</v>
      </c>
    </row>
    <row r="39" ht="76.6" spans="1:6">
      <c r="B39" s="4" t="s">
        <v>188</v>
      </c>
      <c r="E39" s="4" t="str">
        <f>_xlfn.DISPIMG("ID_6D1E00D87D414DD8A282DCAEA7CB3155",1)</f>
        <v>=DISPIMG("ID_6D1E00D87D414DD8A282DCAEA7CB3155",1)</v>
      </c>
    </row>
    <row r="40" spans="1:6">
      <c r="A40" t="s">
        <v>189</v>
      </c>
      <c r="B40" t="s">
        <v>190</v>
      </c>
    </row>
    <row r="41" ht="378" spans="1:6">
      <c r="A41" t="s">
        <v>191</v>
      </c>
      <c r="B41" s="5" t="s">
        <v>192</v>
      </c>
      <c r="C41" s="5" t="s">
        <v>193</v>
      </c>
      <c r="E41" s="5" t="s">
        <v>194</v>
      </c>
      <c r="F41" s="5" t="s">
        <v>195</v>
      </c>
    </row>
    <row r="42" spans="1:6">
      <c r="A42" t="s">
        <v>196</v>
      </c>
      <c r="B42" t="s">
        <v>197</v>
      </c>
      <c r="C42" t="s">
        <v>198</v>
      </c>
    </row>
    <row r="43" ht="108" spans="1:6">
      <c r="B43" s="5" t="s">
        <v>199</v>
      </c>
      <c r="C43" s="5" t="s">
        <v>200</v>
      </c>
      <c r="F43" s="5" t="s">
        <v>201</v>
      </c>
    </row>
    <row r="46" spans="1:6">
      <c r="B46" s="6" t="s">
        <v>13</v>
      </c>
    </row>
    <row r="47" ht="364.5" spans="1:6">
      <c r="A47" t="s">
        <v>202</v>
      </c>
      <c r="B47" s="5" t="s">
        <v>15</v>
      </c>
      <c r="F47" s="5" t="s">
        <v>203</v>
      </c>
    </row>
    <row r="49" spans="1:8">
      <c r="A49" s="3" t="s">
        <v>204</v>
      </c>
      <c r="B49" s="3" t="s">
        <v>205</v>
      </c>
    </row>
    <row r="50" spans="1:8">
      <c r="A50" s="3"/>
      <c r="B50" s="3"/>
    </row>
    <row r="51" spans="1:8">
      <c r="A51" s="3"/>
      <c r="B51" s="3"/>
    </row>
    <row r="52" spans="1:8">
      <c r="A52" s="3"/>
      <c r="B52" s="3"/>
    </row>
    <row r="53" spans="1:8">
      <c r="A53" s="3"/>
      <c r="B53" s="3"/>
    </row>
    <row r="54" spans="1:8">
      <c r="A54" s="3"/>
      <c r="B54" s="3"/>
    </row>
    <row r="55" spans="1:8">
      <c r="A55" s="3"/>
      <c r="B55" s="3"/>
    </row>
    <row r="56" spans="1:8">
      <c r="A56" s="3" t="s">
        <v>206</v>
      </c>
      <c r="B56" s="3"/>
    </row>
    <row r="57" spans="1:8">
      <c r="A57" s="3"/>
      <c r="B57" s="3"/>
    </row>
    <row r="58" spans="1:8">
      <c r="A58" s="3"/>
      <c r="B58" s="3"/>
    </row>
    <row r="59" spans="1:8">
      <c r="A59" s="3"/>
      <c r="B59" s="3"/>
    </row>
    <row r="60" spans="1:8">
      <c r="A60" s="3"/>
      <c r="B60" s="3"/>
    </row>
    <row r="61" spans="1:8">
      <c r="A61" s="3"/>
      <c r="B61" s="3"/>
    </row>
    <row r="62" ht="162" spans="1:8">
      <c r="B62" s="7" t="s">
        <v>207</v>
      </c>
    </row>
    <row r="63" ht="53.25" spans="1:8">
      <c r="A63" s="8" t="s">
        <v>208</v>
      </c>
      <c r="B63" s="9" t="s">
        <v>21</v>
      </c>
      <c r="C63" s="10" t="s">
        <v>22</v>
      </c>
      <c r="D63" s="10"/>
      <c r="E63" s="10"/>
      <c r="F63" s="10"/>
      <c r="G63" s="10"/>
      <c r="H63" t="str">
        <f>_xlfn.DISPIMG("ID_7448393744B5460794F6CCF3C0B7B550",1)</f>
        <v>=DISPIMG("ID_7448393744B5460794F6CCF3C0B7B550",1)</v>
      </c>
    </row>
    <row r="64" spans="1:8">
      <c r="A64" s="8"/>
      <c r="B64" s="9" t="s">
        <v>23</v>
      </c>
      <c r="C64" s="10" t="s">
        <v>24</v>
      </c>
      <c r="D64" s="10"/>
      <c r="E64" s="10"/>
      <c r="F64" s="10"/>
      <c r="G64" s="10"/>
    </row>
    <row r="65" spans="1:7">
      <c r="A65" s="8" t="s">
        <v>209</v>
      </c>
      <c r="B65" s="11"/>
      <c r="C65" s="12"/>
      <c r="D65" s="12"/>
      <c r="E65" s="12"/>
      <c r="F65" s="12"/>
      <c r="G65" s="12"/>
    </row>
    <row r="66" ht="16.5" spans="1:7">
      <c r="C66" s="13" t="s">
        <v>210</v>
      </c>
      <c r="D66" s="13" t="s">
        <v>211</v>
      </c>
    </row>
    <row r="67" ht="16.5" spans="1:7">
      <c r="C67" s="13" t="s">
        <v>212</v>
      </c>
      <c r="D67" s="13" t="s">
        <v>213</v>
      </c>
    </row>
    <row r="68" ht="16.5" spans="1:7">
      <c r="C68" s="13" t="s">
        <v>214</v>
      </c>
      <c r="D68" s="13" t="s">
        <v>215</v>
      </c>
    </row>
    <row r="69" ht="16.5" spans="1:7">
      <c r="C69" s="13" t="s">
        <v>216</v>
      </c>
      <c r="D69" s="13" t="s">
        <v>217</v>
      </c>
    </row>
    <row r="70" ht="16.5" spans="1:7">
      <c r="C70" s="13" t="s">
        <v>218</v>
      </c>
      <c r="D70" s="13" t="s">
        <v>219</v>
      </c>
    </row>
    <row r="71" ht="16.5" spans="1:7">
      <c r="C71" s="13" t="s">
        <v>220</v>
      </c>
      <c r="D71" s="13" t="s">
        <v>221</v>
      </c>
    </row>
    <row r="72" ht="16.5" spans="1:7">
      <c r="C72" s="13"/>
      <c r="D72" s="13"/>
    </row>
    <row r="73" ht="16.5" spans="1:7">
      <c r="C73" s="14"/>
      <c r="D73" s="14"/>
    </row>
    <row r="74" ht="16.5" spans="1:7">
      <c r="A74" s="13" t="s">
        <v>222</v>
      </c>
      <c r="B74" s="13" t="s">
        <v>223</v>
      </c>
    </row>
    <row r="75" ht="16.5" spans="1:7">
      <c r="A75" s="13" t="s">
        <v>224</v>
      </c>
      <c r="B75" s="13" t="s">
        <v>225</v>
      </c>
    </row>
    <row r="76" ht="16.5" spans="1:7">
      <c r="A76" s="13" t="s">
        <v>226</v>
      </c>
      <c r="B76" s="13" t="s">
        <v>227</v>
      </c>
    </row>
    <row r="77" ht="16.5" spans="1:7">
      <c r="E77" s="13" t="s">
        <v>228</v>
      </c>
      <c r="F77" s="13" t="s">
        <v>229</v>
      </c>
    </row>
    <row r="78" ht="16.5" spans="1:7">
      <c r="C78" s="14" t="s">
        <v>230</v>
      </c>
      <c r="D78" s="14" t="s">
        <v>231</v>
      </c>
    </row>
    <row r="79" ht="16.5" spans="1:7">
      <c r="C79" s="14" t="s">
        <v>232</v>
      </c>
      <c r="D79" s="14" t="s">
        <v>233</v>
      </c>
    </row>
    <row r="80" ht="16.5" spans="1:7">
      <c r="C80" s="15" t="s">
        <v>234</v>
      </c>
      <c r="D80" s="15" t="s">
        <v>235</v>
      </c>
    </row>
    <row r="81" ht="16.5" spans="1:6">
      <c r="C81" s="15" t="s">
        <v>236</v>
      </c>
      <c r="D81" s="15" t="s">
        <v>237</v>
      </c>
    </row>
    <row r="82" ht="49.5" spans="1:6">
      <c r="A82" s="16" t="s">
        <v>238</v>
      </c>
      <c r="B82" s="13" t="s">
        <v>239</v>
      </c>
    </row>
    <row r="83" ht="27" spans="1:6">
      <c r="A83" s="17" t="s">
        <v>240</v>
      </c>
      <c r="B83" s="13" t="s">
        <v>241</v>
      </c>
    </row>
    <row r="84" ht="27" spans="1:6">
      <c r="A84" s="17" t="s">
        <v>242</v>
      </c>
      <c r="B84" s="13" t="s">
        <v>243</v>
      </c>
    </row>
    <row r="85" ht="33" spans="1:6">
      <c r="E85" s="16" t="s">
        <v>244</v>
      </c>
      <c r="F85" s="13" t="s">
        <v>245</v>
      </c>
    </row>
    <row r="86" ht="16.5" spans="1:6">
      <c r="C86" s="14" t="s">
        <v>246</v>
      </c>
      <c r="D86" s="13" t="s">
        <v>247</v>
      </c>
    </row>
    <row r="87" ht="16.5" spans="1:6">
      <c r="A87" s="13" t="s">
        <v>248</v>
      </c>
      <c r="B87" s="13" t="s">
        <v>249</v>
      </c>
    </row>
    <row r="88" ht="33" spans="1:6">
      <c r="A88" s="16" t="s">
        <v>250</v>
      </c>
      <c r="B88" s="13" t="s">
        <v>251</v>
      </c>
    </row>
    <row r="89" ht="16.5" spans="1:6">
      <c r="E89" s="18" t="s">
        <v>252</v>
      </c>
      <c r="F89" s="18" t="s">
        <v>253</v>
      </c>
    </row>
    <row r="90" ht="16.5" spans="1:6">
      <c r="E90" s="13" t="s">
        <v>254</v>
      </c>
      <c r="F90" s="13" t="s">
        <v>255</v>
      </c>
    </row>
    <row r="91" ht="16.5" spans="1:6">
      <c r="A91" s="13" t="s">
        <v>256</v>
      </c>
      <c r="B91" s="13" t="s">
        <v>257</v>
      </c>
    </row>
    <row r="92" ht="16.5" spans="1:6">
      <c r="A92" s="13" t="s">
        <v>258</v>
      </c>
      <c r="B92" s="13" t="s">
        <v>259</v>
      </c>
    </row>
    <row r="93" ht="16.5" spans="1:6">
      <c r="A93" s="19"/>
      <c r="B93" s="20"/>
      <c r="E93" s="13" t="s">
        <v>260</v>
      </c>
      <c r="F93" s="13" t="s">
        <v>261</v>
      </c>
    </row>
    <row r="94" ht="16.5" spans="1:6">
      <c r="A94" s="19"/>
      <c r="B94" s="20"/>
      <c r="E94" s="13" t="s">
        <v>262</v>
      </c>
      <c r="F94" s="13" t="s">
        <v>263</v>
      </c>
    </row>
    <row r="95" spans="1:6">
      <c r="A95" t="s">
        <v>264</v>
      </c>
    </row>
    <row r="97" spans="1:6">
      <c r="A97" t="s">
        <v>265</v>
      </c>
      <c r="B97" t="s">
        <v>266</v>
      </c>
      <c r="C97" t="s">
        <v>267</v>
      </c>
      <c r="D97" t="s">
        <v>268</v>
      </c>
      <c r="E97" t="s">
        <v>269</v>
      </c>
      <c r="F97" t="s">
        <v>270</v>
      </c>
    </row>
    <row r="98" spans="1:6">
      <c r="A98" t="s">
        <v>271</v>
      </c>
      <c r="B98" t="s">
        <v>272</v>
      </c>
    </row>
    <row r="100" spans="1:6">
      <c r="A100" t="s">
        <v>273</v>
      </c>
      <c r="B100" t="s">
        <v>274</v>
      </c>
    </row>
    <row r="113" spans="1:1">
      <c r="A113" t="s">
        <v>275</v>
      </c>
    </row>
    <row r="114" spans="1:1">
      <c r="A114" t="s">
        <v>276</v>
      </c>
    </row>
    <row r="115" spans="1:1">
      <c r="A115" t="s">
        <v>277</v>
      </c>
    </row>
    <row r="116" spans="1:1">
      <c r="A116" t="s">
        <v>278</v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A12:F12"/>
    <mergeCell ref="C63:G63"/>
    <mergeCell ref="C64:G64"/>
  </mergeCells>
  <hyperlinks>
    <hyperlink ref="B46" r:id="rId1" display="http://123.60.27.66:7615/TQLEX?Entry=HQServ.PBPzxh" tooltip="http://123.60.27.66:7615/TQLEX?Entry=HQServ.PBPzxh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9259635176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4"/>
  <pixelatorList sheetStid="2"/>
  <pixelatorList sheetStid="1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ai收评</vt:lpstr>
      <vt:lpstr>连板天梯接口</vt:lpstr>
      <vt:lpstr>涉及字段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tdx</dc:creator>
  <cp:lastModifiedBy>代池晨</cp:lastModifiedBy>
  <dcterms:created xsi:type="dcterms:W3CDTF">2026-01-30T00:18:00Z</dcterms:created>
  <dcterms:modified xsi:type="dcterms:W3CDTF">2026-02-06T01:13:00Z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865EC691D0B241B9A61ECDA651F6C61C_11</vt:lpwstr>
  </property>
  <property fmtid="{D5CDD505-2E9C-101B-9397-08002B2CF9AE}" pid="3" name="KSOProductBuildVer">
    <vt:lpwstr>2052-12.9.0.25288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